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00 CIPAA contract work dairy\QS-WFUI\test-data\"/>
    </mc:Choice>
  </mc:AlternateContent>
  <xr:revisionPtr revIDLastSave="0" documentId="13_ncr:1_{0AAAE625-CE91-4FB1-A88D-AEF2D628B3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otation" sheetId="1" r:id="rId1"/>
  </sheets>
  <calcPr calcId="191028"/>
</workbook>
</file>

<file path=xl/calcChain.xml><?xml version="1.0" encoding="utf-8"?>
<calcChain xmlns="http://schemas.openxmlformats.org/spreadsheetml/2006/main">
  <c r="C24" i="1" l="1"/>
  <c r="H7" i="1"/>
  <c r="F24" i="1"/>
  <c r="F21" i="1"/>
  <c r="F18" i="1"/>
  <c r="F29" i="1" s="1"/>
  <c r="F8" i="1"/>
</calcChain>
</file>

<file path=xl/sharedStrings.xml><?xml version="1.0" encoding="utf-8"?>
<sst xmlns="http://schemas.openxmlformats.org/spreadsheetml/2006/main" count="39" uniqueCount="31">
  <si>
    <t>Quotation: Roofing &amp; Plaster Ceiling Repair</t>
  </si>
  <si>
    <t>No</t>
  </si>
  <si>
    <t>Description</t>
  </si>
  <si>
    <t>Quantity</t>
  </si>
  <si>
    <t>Unit</t>
  </si>
  <si>
    <t>Rate (RM)</t>
  </si>
  <si>
    <t>Total (RM)</t>
  </si>
  <si>
    <t>1</t>
  </si>
  <si>
    <t>Remove and replace damaged roof tiles (approx. 20 sqft) including material and labor</t>
  </si>
  <si>
    <t>sqft</t>
  </si>
  <si>
    <t>Menukar dan mengecat plaster board di tepi rumah, tempat extension</t>
  </si>
  <si>
    <t>sf</t>
  </si>
  <si>
    <t>Membaiki plastic/polycarbonate roofing</t>
  </si>
  <si>
    <t>ls</t>
  </si>
  <si>
    <t>Menukar dan mengecat plaster board di Tingkat satu pada aras ruang utama</t>
  </si>
  <si>
    <t>Menukar plaster board di bilik no .3</t>
  </si>
  <si>
    <t>Total</t>
  </si>
  <si>
    <t>Deskripsi Kerja</t>
  </si>
  <si>
    <t>Kuantiti</t>
  </si>
  <si>
    <t>Kadar (RM)</t>
  </si>
  <si>
    <t>Jumlah (RM)</t>
  </si>
  <si>
    <t>Kerja Membuka &amp; Menukar Genting Bumbung Rosak</t>
  </si>
  <si>
    <t>• Membuka genting sedia ada yang rosak</t>
  </si>
  <si>
    <t>• Memasang genting baru (termasuk bahan dan upah pekerja)</t>
  </si>
  <si>
    <t>Kerja Kalis Air (Waterproofing) Gutter</t>
  </si>
  <si>
    <t>• Membersihkan permukaan longkang bumbung</t>
  </si>
  <si>
    <r>
      <t>• Menyapu lapisan kalis air (</t>
    </r>
    <r>
      <rPr>
        <i/>
        <sz val="11"/>
        <color theme="1"/>
        <rFont val="Arial"/>
        <family val="2"/>
      </rPr>
      <t>acrylic/polyurethane coating</t>
    </r>
    <r>
      <rPr>
        <sz val="11"/>
        <color theme="1"/>
        <rFont val="Arial"/>
        <family val="2"/>
      </rPr>
      <t>)</t>
    </r>
  </si>
  <si>
    <t>Menukar &amp; Mengecat Plaster Board (3 Bilik)</t>
  </si>
  <si>
    <t>• Bilik 1:300 sf</t>
  </si>
  <si>
    <t>• Bilik 2:200 sf</t>
  </si>
  <si>
    <t>• Bilik 3: 90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</si>
</sst>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363840"/>
      </bottom>
      <diagonal/>
    </border>
    <border>
      <left/>
      <right/>
      <top style="medium">
        <color rgb="FF363840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3" fillId="0" borderId="0" xfId="0" applyFont="1"/>
    <xf numFmtId="4" fontId="3" fillId="0" borderId="1" xfId="0" applyNumberFormat="1" applyFont="1" applyBorder="1"/>
    <xf numFmtId="0" fontId="1" fillId="0" borderId="0" xfId="0" applyFont="1"/>
    <xf numFmtId="0" fontId="0" fillId="0" borderId="0" xfId="0"/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" xfId="0" applyFont="1" applyBorder="1" applyAlignment="1">
      <alignment vertical="center" wrapText="1"/>
    </xf>
    <xf numFmtId="43" fontId="6" fillId="0" borderId="3" xfId="1" applyFont="1" applyBorder="1" applyAlignment="1">
      <alignment vertical="center" wrapText="1"/>
    </xf>
    <xf numFmtId="43" fontId="6" fillId="0" borderId="0" xfId="1" applyFont="1" applyAlignment="1">
      <alignment vertical="center" wrapText="1"/>
    </xf>
    <xf numFmtId="43" fontId="6" fillId="0" borderId="2" xfId="1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L21" sqref="L21"/>
    </sheetView>
  </sheetViews>
  <sheetFormatPr defaultRowHeight="15" x14ac:dyDescent="0.25"/>
  <cols>
    <col min="1" max="1" width="15" customWidth="1"/>
    <col min="2" max="2" width="60" customWidth="1"/>
    <col min="3" max="6" width="15" customWidth="1"/>
  </cols>
  <sheetData>
    <row r="1" spans="1:8" ht="18.75" x14ac:dyDescent="0.3">
      <c r="A1" s="6" t="s">
        <v>0</v>
      </c>
      <c r="B1" s="7"/>
      <c r="C1" s="7"/>
      <c r="D1" s="7"/>
      <c r="E1" s="7"/>
      <c r="F1" s="7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8" x14ac:dyDescent="0.25">
      <c r="A4" s="2">
        <v>1</v>
      </c>
      <c r="B4" s="2" t="s">
        <v>10</v>
      </c>
      <c r="C4" s="2">
        <v>300</v>
      </c>
      <c r="D4" s="2" t="s">
        <v>11</v>
      </c>
      <c r="E4" s="3">
        <v>8</v>
      </c>
      <c r="F4" s="3">
        <v>2400</v>
      </c>
    </row>
    <row r="5" spans="1:8" x14ac:dyDescent="0.25">
      <c r="A5" s="2">
        <v>2</v>
      </c>
      <c r="B5" s="2" t="s">
        <v>12</v>
      </c>
      <c r="C5" s="2">
        <v>1</v>
      </c>
      <c r="D5" s="2" t="s">
        <v>13</v>
      </c>
      <c r="E5" s="3">
        <v>750</v>
      </c>
      <c r="F5" s="3">
        <v>750</v>
      </c>
    </row>
    <row r="6" spans="1:8" x14ac:dyDescent="0.25">
      <c r="A6" s="2">
        <v>3</v>
      </c>
      <c r="B6" s="2" t="s">
        <v>14</v>
      </c>
      <c r="C6" s="2">
        <v>200</v>
      </c>
      <c r="D6" s="2" t="s">
        <v>11</v>
      </c>
      <c r="E6" s="3">
        <v>8</v>
      </c>
      <c r="F6" s="3">
        <v>1600</v>
      </c>
    </row>
    <row r="7" spans="1:8" x14ac:dyDescent="0.25">
      <c r="A7" s="2">
        <v>4</v>
      </c>
      <c r="B7" s="2" t="s">
        <v>15</v>
      </c>
      <c r="C7" s="2">
        <v>1</v>
      </c>
      <c r="D7" s="2" t="s">
        <v>13</v>
      </c>
      <c r="E7" s="3">
        <v>600</v>
      </c>
      <c r="F7" s="3">
        <v>600</v>
      </c>
      <c r="H7">
        <f>E7/E4</f>
        <v>75</v>
      </c>
    </row>
    <row r="8" spans="1:8" x14ac:dyDescent="0.25">
      <c r="E8" s="4" t="s">
        <v>16</v>
      </c>
      <c r="F8" s="5">
        <f>SUM(F4:F7)</f>
        <v>5350</v>
      </c>
    </row>
    <row r="11" spans="1:8" x14ac:dyDescent="0.25">
      <c r="A11" s="2" t="s">
        <v>7</v>
      </c>
      <c r="B11" s="2" t="s">
        <v>8</v>
      </c>
      <c r="C11" s="2">
        <v>20</v>
      </c>
      <c r="D11" s="2" t="s">
        <v>9</v>
      </c>
      <c r="E11" s="3">
        <v>45</v>
      </c>
      <c r="F11" s="3">
        <v>900</v>
      </c>
    </row>
    <row r="17" spans="1:6" ht="15.75" thickBot="1" x14ac:dyDescent="0.3">
      <c r="A17" s="8" t="s">
        <v>1</v>
      </c>
      <c r="B17" s="8" t="s">
        <v>17</v>
      </c>
      <c r="C17" s="8" t="s">
        <v>18</v>
      </c>
      <c r="D17" s="8" t="s">
        <v>4</v>
      </c>
      <c r="E17" s="8" t="s">
        <v>19</v>
      </c>
      <c r="F17" s="8" t="s">
        <v>20</v>
      </c>
    </row>
    <row r="18" spans="1:6" x14ac:dyDescent="0.25">
      <c r="A18" s="15">
        <v>1</v>
      </c>
      <c r="B18" s="9" t="s">
        <v>21</v>
      </c>
      <c r="C18" s="17">
        <v>20</v>
      </c>
      <c r="D18" s="17" t="s">
        <v>11</v>
      </c>
      <c r="E18" s="17">
        <v>85</v>
      </c>
      <c r="F18" s="12">
        <f>C18*E18</f>
        <v>1700</v>
      </c>
    </row>
    <row r="19" spans="1:6" x14ac:dyDescent="0.25">
      <c r="A19" s="16"/>
      <c r="B19" s="10" t="s">
        <v>22</v>
      </c>
      <c r="C19" s="18"/>
      <c r="D19" s="18"/>
      <c r="E19" s="18"/>
      <c r="F19" s="13"/>
    </row>
    <row r="20" spans="1:6" ht="15.75" thickBot="1" x14ac:dyDescent="0.3">
      <c r="A20" s="8"/>
      <c r="B20" s="11" t="s">
        <v>23</v>
      </c>
      <c r="C20" s="19"/>
      <c r="D20" s="19"/>
      <c r="E20" s="19"/>
      <c r="F20" s="14"/>
    </row>
    <row r="21" spans="1:6" x14ac:dyDescent="0.25">
      <c r="A21" s="15">
        <v>2</v>
      </c>
      <c r="B21" s="9" t="s">
        <v>24</v>
      </c>
      <c r="C21" s="17">
        <v>90</v>
      </c>
      <c r="D21" s="17" t="s">
        <v>11</v>
      </c>
      <c r="E21" s="17">
        <v>35</v>
      </c>
      <c r="F21" s="12">
        <f>C21*E21</f>
        <v>3150</v>
      </c>
    </row>
    <row r="22" spans="1:6" x14ac:dyDescent="0.25">
      <c r="A22" s="16"/>
      <c r="B22" s="10" t="s">
        <v>25</v>
      </c>
      <c r="C22" s="18"/>
      <c r="D22" s="18"/>
      <c r="E22" s="18"/>
      <c r="F22" s="13"/>
    </row>
    <row r="23" spans="1:6" ht="15.75" thickBot="1" x14ac:dyDescent="0.3">
      <c r="A23" s="8"/>
      <c r="B23" s="11" t="s">
        <v>26</v>
      </c>
      <c r="C23" s="19"/>
      <c r="D23" s="19"/>
      <c r="E23" s="19"/>
      <c r="F23" s="14"/>
    </row>
    <row r="24" spans="1:6" x14ac:dyDescent="0.25">
      <c r="A24" s="15">
        <v>3</v>
      </c>
      <c r="B24" s="9" t="s">
        <v>27</v>
      </c>
      <c r="C24" s="17">
        <f>300+200+90</f>
        <v>590</v>
      </c>
      <c r="D24" s="17" t="s">
        <v>11</v>
      </c>
      <c r="E24" s="17">
        <v>8</v>
      </c>
      <c r="F24" s="12">
        <f>C24*E24</f>
        <v>4720</v>
      </c>
    </row>
    <row r="25" spans="1:6" x14ac:dyDescent="0.25">
      <c r="A25" s="16"/>
      <c r="B25" s="10" t="s">
        <v>28</v>
      </c>
      <c r="C25" s="18"/>
      <c r="D25" s="18"/>
      <c r="E25" s="18"/>
      <c r="F25" s="13"/>
    </row>
    <row r="26" spans="1:6" x14ac:dyDescent="0.25">
      <c r="A26" s="16"/>
      <c r="B26" s="10" t="s">
        <v>29</v>
      </c>
      <c r="C26" s="18"/>
      <c r="D26" s="18"/>
      <c r="E26" s="18"/>
      <c r="F26" s="13"/>
    </row>
    <row r="27" spans="1:6" ht="15.75" thickBot="1" x14ac:dyDescent="0.3">
      <c r="A27" s="8"/>
      <c r="B27" s="11" t="s">
        <v>30</v>
      </c>
      <c r="C27" s="19"/>
      <c r="D27" s="19"/>
      <c r="E27" s="19"/>
      <c r="F27" s="14"/>
    </row>
    <row r="29" spans="1:6" x14ac:dyDescent="0.25">
      <c r="E29" s="4" t="s">
        <v>16</v>
      </c>
      <c r="F29" s="5">
        <f>SUM(F18:F28)</f>
        <v>9570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kamal latif</cp:lastModifiedBy>
  <dcterms:created xsi:type="dcterms:W3CDTF">2026-07-15T08:00:54Z</dcterms:created>
  <dcterms:modified xsi:type="dcterms:W3CDTF">2026-07-15T23:54:39Z</dcterms:modified>
</cp:coreProperties>
</file>