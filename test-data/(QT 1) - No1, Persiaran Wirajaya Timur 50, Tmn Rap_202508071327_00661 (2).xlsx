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00 CIPAA contract work dairy\QS-WFUI\test-data\"/>
    </mc:Choice>
  </mc:AlternateContent>
  <xr:revisionPtr revIDLastSave="0" documentId="13_ncr:1_{631F8DA5-B0F9-4BAD-A604-970E9785FB0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le 1" sheetId="1" r:id="rId1"/>
  </sheets>
  <definedNames>
    <definedName name="_xlnm.Print_Area" localSheetId="0">'Table 1'!$A$1:$G$66</definedName>
  </definedNames>
  <calcPr calcId="191029"/>
</workbook>
</file>

<file path=xl/calcChain.xml><?xml version="1.0" encoding="utf-8"?>
<calcChain xmlns="http://schemas.openxmlformats.org/spreadsheetml/2006/main">
  <c r="G25" i="1" l="1"/>
  <c r="D30" i="1"/>
  <c r="G30" i="1" s="1"/>
  <c r="G21" i="1"/>
  <c r="G35" i="1" l="1"/>
  <c r="G37" i="1" s="1"/>
</calcChain>
</file>

<file path=xl/sharedStrings.xml><?xml version="1.0" encoding="utf-8"?>
<sst xmlns="http://schemas.openxmlformats.org/spreadsheetml/2006/main" count="60" uniqueCount="58">
  <si>
    <r>
      <rPr>
        <sz val="9"/>
        <color rgb="FF434343"/>
        <rFont val="Arial"/>
        <family val="2"/>
      </rPr>
      <t>SALES PERSON</t>
    </r>
  </si>
  <si>
    <r>
      <rPr>
        <u/>
        <sz val="9"/>
        <color rgb="FF1F1F1F"/>
        <rFont val="Arial"/>
        <family val="2"/>
      </rPr>
      <t>Mr.</t>
    </r>
  </si>
  <si>
    <r>
      <rPr>
        <sz val="9"/>
        <color rgb="FF1F1F1F"/>
        <rFont val="Arial"/>
        <family val="2"/>
      </rPr>
      <t>*** 5 YEARS INSTALLATION WARRANTY ***</t>
    </r>
  </si>
  <si>
    <r>
      <rPr>
        <sz val="9"/>
        <color rgb="FF1F1F1F"/>
        <rFont val="Arial"/>
        <family val="2"/>
      </rPr>
      <t>This is computer generated document, no signature required.</t>
    </r>
  </si>
  <si>
    <t>QUOTATION</t>
  </si>
  <si>
    <t>QUOTE TO</t>
  </si>
  <si>
    <t xml:space="preserve">PHONE NO.        </t>
  </si>
  <si>
    <t xml:space="preserve"> +60 19-592 2099</t>
  </si>
  <si>
    <t>NOTES</t>
  </si>
  <si>
    <t xml:space="preserve">
1. All cheques should be crossed and made payable to INOKALIS SDN BHD.</t>
  </si>
  <si>
    <t>2. Public Bank Berhad A/C No : 3242440217</t>
  </si>
  <si>
    <t>3. 50% of the contract value to be paid as a deposit upon order confirmation.</t>
  </si>
  <si>
    <t>4. 50% of the balance payment will be collected upon work completion.</t>
  </si>
  <si>
    <t>5. In default of payment, a letter of demand shall be issued followed by legal action and listing of your name under CTOS.</t>
  </si>
  <si>
    <t>6. Please note that all goods sold are strictly non-returnable and non-refundable.</t>
  </si>
  <si>
    <t>7. All General Term &amp; Conditions governing this Quotation is deemed to be effective upon client's signatory.</t>
  </si>
  <si>
    <t>8. This document is valid for 30 days from the issued date.</t>
  </si>
  <si>
    <t>SUBTOTAL</t>
  </si>
  <si>
    <t>DISCOUNT</t>
  </si>
  <si>
    <t>TOTAL</t>
  </si>
  <si>
    <t>36, Lengkok Jelapang Maju, Kawasan Perindustrian Ringan, Jelapang Maju</t>
  </si>
  <si>
    <t>30020 IPOH, Perak</t>
  </si>
  <si>
    <t>Malaysia</t>
  </si>
  <si>
    <t>Website: http://inokalis.com.my</t>
  </si>
  <si>
    <t>NO</t>
  </si>
  <si>
    <t>DATE</t>
  </si>
  <si>
    <t xml:space="preserve">PAYMENT TERM </t>
  </si>
  <si>
    <t>3 Days</t>
  </si>
  <si>
    <r>
      <t>INOKALIS SDN BHD</t>
    </r>
    <r>
      <rPr>
        <sz val="8"/>
        <color rgb="FF000000"/>
        <rFont val="Times New Roman"/>
        <family val="1"/>
      </rPr>
      <t xml:space="preserve"> (202401052999 / 1598842-A)</t>
    </r>
  </si>
  <si>
    <t>Zubir</t>
  </si>
  <si>
    <t>Contact: +60 12-598 4231 / sales@inokalis.com.my</t>
  </si>
  <si>
    <t>31350 Ipoh, Perak Malaysia</t>
  </si>
  <si>
    <t>No 1, Persiaran Wirajaya Timur 50, Taman Rapat Setia Baru,</t>
  </si>
  <si>
    <t>Mr Kamal</t>
  </si>
  <si>
    <t>Kerja Membuka &amp; Menukar Genting Bumbung Rosak</t>
  </si>
  <si>
    <t>sf</t>
  </si>
  <si>
    <t>• Membuka genting sedia ada yang rosak</t>
  </si>
  <si>
    <t>• Memasang genting baru (termasuk bahan dan upah pekerja)</t>
  </si>
  <si>
    <t>Kerja Kalis Air (Waterproofing) Gutter</t>
  </si>
  <si>
    <t>• Membersihkan permukaan longkang bumbung</t>
  </si>
  <si>
    <t>Menukar &amp; Mengecat Plaster Board (3 Bilik)</t>
  </si>
  <si>
    <t>• Bilik 1:300 sf</t>
  </si>
  <si>
    <t>• Bilik 2:200 sf</t>
  </si>
  <si>
    <t>• Bilik 3: 90 sf</t>
  </si>
  <si>
    <t>Unit</t>
  </si>
  <si>
    <t>Rate (RM)</t>
  </si>
  <si>
    <t>Total (RM)</t>
  </si>
  <si>
    <t>No</t>
  </si>
  <si>
    <t>Description</t>
  </si>
  <si>
    <t>Qty</t>
  </si>
  <si>
    <t>We confirm the order by accepting the terms &amp; conditions stated above</t>
  </si>
  <si>
    <t>NRIC :</t>
  </si>
  <si>
    <t>Date :</t>
  </si>
  <si>
    <r>
      <t>• Menyapu lapisan kalis air (</t>
    </r>
    <r>
      <rPr>
        <i/>
        <sz val="9"/>
        <color theme="1"/>
        <rFont val="Arial"/>
        <family val="2"/>
      </rPr>
      <t>acrylic/polyurethane coating</t>
    </r>
    <r>
      <rPr>
        <sz val="9"/>
        <color theme="1"/>
        <rFont val="Arial"/>
        <family val="2"/>
      </rPr>
      <t>)</t>
    </r>
  </si>
  <si>
    <t>Name :</t>
  </si>
  <si>
    <t xml:space="preserve">Clients Chop &amp; Sign  </t>
  </si>
  <si>
    <t>QT-26/07/10</t>
  </si>
  <si>
    <t>16-07-2026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</si>
</sst>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9" x14ac:knownFonts="1">
    <font>
      <sz val="10"/>
      <color rgb="FF000000"/>
      <name val="Times New Roman"/>
      <charset val="204"/>
    </font>
    <font>
      <sz val="9"/>
      <color rgb="FF000000"/>
      <name val="Arial"/>
      <family val="2"/>
    </font>
    <font>
      <sz val="9"/>
      <color rgb="FF434343"/>
      <name val="Arial"/>
      <family val="2"/>
    </font>
    <font>
      <sz val="9"/>
      <color rgb="FF1F1F1F"/>
      <name val="Arial"/>
      <family val="2"/>
    </font>
    <font>
      <sz val="9"/>
      <color rgb="FF000000"/>
      <name val="Times New Roman"/>
      <family val="1"/>
    </font>
    <font>
      <sz val="9"/>
      <name val="Arial"/>
      <family val="2"/>
    </font>
    <font>
      <u/>
      <sz val="9"/>
      <color rgb="FF1F1F1F"/>
      <name val="Arial"/>
      <family val="2"/>
    </font>
    <font>
      <sz val="10"/>
      <color rgb="FF000000"/>
      <name val="Times New Roman"/>
      <charset val="204"/>
    </font>
    <font>
      <sz val="9"/>
      <name val="Times New Roman"/>
      <family val="1"/>
    </font>
    <font>
      <sz val="12"/>
      <color rgb="FF000000"/>
      <name val="Times New Roman"/>
      <family val="1"/>
    </font>
    <font>
      <b/>
      <sz val="16"/>
      <color rgb="FF000000"/>
      <name val="Times New Roman"/>
      <family val="1"/>
    </font>
    <font>
      <sz val="8"/>
      <color rgb="FF000000"/>
      <name val="Times New Roman"/>
      <family val="1"/>
    </font>
    <font>
      <sz val="11"/>
      <color theme="1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11"/>
      <color rgb="FFFFFFFF"/>
      <name val="Arial"/>
      <family val="2"/>
    </font>
    <font>
      <i/>
      <sz val="9"/>
      <color theme="1"/>
      <name val="Arial"/>
      <family val="2"/>
    </font>
    <font>
      <b/>
      <sz val="9"/>
      <color rgb="FF000000"/>
      <name val="Times New Roman"/>
      <family val="1"/>
    </font>
    <font>
      <b/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333333"/>
        <bgColor rgb="FF333333"/>
      </patternFill>
    </fill>
  </fills>
  <borders count="7">
    <border>
      <left/>
      <right/>
      <top/>
      <bottom/>
      <diagonal/>
    </border>
    <border>
      <left/>
      <right/>
      <top style="thin">
        <color rgb="FF252525"/>
      </top>
      <bottom/>
      <diagonal/>
    </border>
    <border>
      <left/>
      <right/>
      <top style="medium">
        <color rgb="FF363840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70">
    <xf numFmtId="0" fontId="0" fillId="0" borderId="0" xfId="0" applyAlignment="1">
      <alignment horizontal="left" vertical="top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4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0" fontId="5" fillId="0" borderId="0" xfId="0" applyFont="1" applyAlignment="1">
      <alignment vertical="top"/>
    </xf>
    <xf numFmtId="0" fontId="8" fillId="0" borderId="0" xfId="0" applyFont="1" applyAlignment="1">
      <alignment vertical="top"/>
    </xf>
    <xf numFmtId="0" fontId="9" fillId="0" borderId="0" xfId="0" applyFont="1" applyAlignment="1">
      <alignment horizontal="left" vertical="top"/>
    </xf>
    <xf numFmtId="0" fontId="10" fillId="0" borderId="0" xfId="0" applyFont="1" applyAlignment="1">
      <alignment horizontal="left" vertical="top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vertical="top"/>
    </xf>
    <xf numFmtId="0" fontId="3" fillId="0" borderId="0" xfId="0" applyFont="1" applyAlignment="1">
      <alignment vertical="top" wrapText="1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5" fillId="2" borderId="0" xfId="0" applyFont="1" applyFill="1" applyAlignment="1">
      <alignment horizontal="center"/>
    </xf>
    <xf numFmtId="0" fontId="12" fillId="0" borderId="0" xfId="0" applyFont="1"/>
    <xf numFmtId="0" fontId="14" fillId="0" borderId="2" xfId="0" applyFont="1" applyBorder="1" applyAlignment="1">
      <alignment horizontal="center" vertical="center"/>
    </xf>
    <xf numFmtId="0" fontId="14" fillId="0" borderId="0" xfId="0" applyFont="1" applyBorder="1" applyAlignment="1">
      <alignment vertical="center"/>
    </xf>
    <xf numFmtId="1" fontId="3" fillId="0" borderId="1" xfId="0" applyNumberFormat="1" applyFont="1" applyBorder="1" applyAlignment="1">
      <alignment horizontal="center" vertical="top" shrinkToFit="1"/>
    </xf>
    <xf numFmtId="0" fontId="5" fillId="0" borderId="0" xfId="0" applyFont="1" applyBorder="1" applyAlignment="1">
      <alignment vertical="top"/>
    </xf>
    <xf numFmtId="0" fontId="4" fillId="0" borderId="0" xfId="0" applyFont="1" applyBorder="1" applyAlignment="1">
      <alignment vertical="top" wrapText="1"/>
    </xf>
    <xf numFmtId="0" fontId="5" fillId="0" borderId="0" xfId="0" applyFont="1" applyBorder="1" applyAlignment="1">
      <alignment vertical="top" wrapText="1"/>
    </xf>
    <xf numFmtId="0" fontId="4" fillId="0" borderId="0" xfId="0" applyFont="1" applyBorder="1" applyAlignment="1">
      <alignment horizontal="left" vertical="top" wrapText="1"/>
    </xf>
    <xf numFmtId="43" fontId="3" fillId="0" borderId="1" xfId="1" applyFont="1" applyBorder="1" applyAlignment="1">
      <alignment horizontal="right" vertical="top" shrinkToFit="1"/>
    </xf>
    <xf numFmtId="43" fontId="3" fillId="0" borderId="0" xfId="1" applyFont="1" applyBorder="1" applyAlignment="1">
      <alignment horizontal="right" vertical="top" shrinkToFit="1"/>
    </xf>
    <xf numFmtId="43" fontId="4" fillId="0" borderId="0" xfId="1" applyFont="1" applyAlignment="1">
      <alignment horizontal="left" vertical="top" wrapText="1"/>
    </xf>
    <xf numFmtId="0" fontId="4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13" fillId="0" borderId="0" xfId="0" applyFont="1" applyBorder="1" applyAlignment="1">
      <alignment vertical="center"/>
    </xf>
    <xf numFmtId="0" fontId="4" fillId="0" borderId="3" xfId="0" applyFont="1" applyBorder="1" applyAlignment="1">
      <alignment horizontal="left" vertical="top"/>
    </xf>
    <xf numFmtId="0" fontId="5" fillId="0" borderId="4" xfId="0" applyFont="1" applyBorder="1" applyAlignment="1">
      <alignment horizontal="center" vertical="top" wrapText="1"/>
    </xf>
    <xf numFmtId="0" fontId="5" fillId="0" borderId="0" xfId="0" applyFont="1" applyBorder="1" applyAlignment="1">
      <alignment horizontal="center" vertical="top" wrapText="1"/>
    </xf>
    <xf numFmtId="0" fontId="14" fillId="0" borderId="0" xfId="0" applyFont="1" applyBorder="1" applyAlignment="1">
      <alignment horizontal="center" vertical="center"/>
    </xf>
    <xf numFmtId="0" fontId="17" fillId="0" borderId="0" xfId="0" applyFont="1" applyAlignment="1">
      <alignment horizontal="left" vertical="top"/>
    </xf>
    <xf numFmtId="4" fontId="3" fillId="0" borderId="6" xfId="0" applyNumberFormat="1" applyFont="1" applyBorder="1" applyAlignment="1">
      <alignment horizontal="right" vertical="top" shrinkToFit="1"/>
    </xf>
    <xf numFmtId="2" fontId="3" fillId="0" borderId="6" xfId="0" applyNumberFormat="1" applyFont="1" applyBorder="1" applyAlignment="1">
      <alignment horizontal="right" vertical="top" shrinkToFit="1"/>
    </xf>
    <xf numFmtId="43" fontId="3" fillId="0" borderId="6" xfId="1" applyFont="1" applyBorder="1" applyAlignment="1">
      <alignment horizontal="right" vertical="top" shrinkToFit="1"/>
    </xf>
    <xf numFmtId="0" fontId="5" fillId="0" borderId="3" xfId="0" applyFont="1" applyBorder="1" applyAlignment="1">
      <alignment vertical="top"/>
    </xf>
    <xf numFmtId="0" fontId="5" fillId="0" borderId="3" xfId="0" applyFont="1" applyBorder="1" applyAlignment="1">
      <alignment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vertical="top"/>
    </xf>
    <xf numFmtId="43" fontId="1" fillId="0" borderId="0" xfId="1" applyFont="1" applyAlignment="1">
      <alignment vertical="top" wrapText="1"/>
    </xf>
    <xf numFmtId="0" fontId="1" fillId="0" borderId="0" xfId="0" applyFont="1" applyBorder="1" applyAlignment="1">
      <alignment vertical="top" wrapText="1"/>
    </xf>
    <xf numFmtId="43" fontId="1" fillId="0" borderId="0" xfId="1" applyFont="1" applyBorder="1" applyAlignment="1">
      <alignment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left" vertical="top"/>
    </xf>
    <xf numFmtId="0" fontId="1" fillId="0" borderId="3" xfId="0" applyFont="1" applyBorder="1" applyAlignment="1">
      <alignment horizontal="left" vertical="top" wrapText="1"/>
    </xf>
    <xf numFmtId="43" fontId="1" fillId="0" borderId="3" xfId="1" applyFont="1" applyBorder="1" applyAlignment="1">
      <alignment horizontal="left" vertical="top" wrapText="1"/>
    </xf>
    <xf numFmtId="0" fontId="1" fillId="0" borderId="0" xfId="0" applyFont="1" applyBorder="1" applyAlignment="1">
      <alignment horizontal="left" vertical="top" wrapText="1"/>
    </xf>
    <xf numFmtId="43" fontId="1" fillId="0" borderId="0" xfId="1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Border="1" applyAlignment="1">
      <alignment horizontal="left" vertical="top"/>
    </xf>
    <xf numFmtId="0" fontId="1" fillId="0" borderId="6" xfId="0" applyFont="1" applyBorder="1" applyAlignment="1">
      <alignment horizontal="left" vertical="top"/>
    </xf>
    <xf numFmtId="0" fontId="18" fillId="0" borderId="5" xfId="0" applyFont="1" applyBorder="1" applyAlignment="1">
      <alignment horizontal="left" vertical="top"/>
    </xf>
    <xf numFmtId="0" fontId="4" fillId="0" borderId="0" xfId="0" applyFont="1" applyAlignment="1">
      <alignment horizontal="left" vertical="top" indent="1"/>
    </xf>
    <xf numFmtId="43" fontId="14" fillId="0" borderId="2" xfId="1" applyFont="1" applyBorder="1" applyAlignment="1">
      <alignment horizontal="center" vertical="center"/>
    </xf>
    <xf numFmtId="43" fontId="14" fillId="0" borderId="0" xfId="1" applyFont="1" applyBorder="1" applyAlignment="1">
      <alignment horizontal="center" vertical="center"/>
    </xf>
    <xf numFmtId="0" fontId="3" fillId="0" borderId="0" xfId="0" applyFont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18" fillId="0" borderId="5" xfId="0" applyFont="1" applyBorder="1" applyAlignment="1">
      <alignment horizontal="left" vertical="top" wrapText="1"/>
    </xf>
    <xf numFmtId="43" fontId="18" fillId="0" borderId="5" xfId="1" applyFont="1" applyBorder="1" applyAlignment="1">
      <alignment horizontal="left" vertical="top" wrapText="1"/>
    </xf>
    <xf numFmtId="0" fontId="17" fillId="0" borderId="0" xfId="0" applyFont="1" applyAlignment="1">
      <alignment horizontal="left" vertical="top" wrapText="1"/>
    </xf>
    <xf numFmtId="1" fontId="3" fillId="0" borderId="0" xfId="0" applyNumberFormat="1" applyFont="1" applyBorder="1" applyAlignment="1">
      <alignment horizontal="left" vertical="top" shrinkToFit="1"/>
    </xf>
    <xf numFmtId="0" fontId="18" fillId="0" borderId="0" xfId="0" applyFont="1" applyBorder="1" applyAlignment="1">
      <alignment horizontal="left" vertical="top" wrapText="1"/>
    </xf>
    <xf numFmtId="0" fontId="18" fillId="0" borderId="0" xfId="0" applyFont="1" applyBorder="1" applyAlignment="1">
      <alignment horizontal="left" vertical="top"/>
    </xf>
    <xf numFmtId="0" fontId="18" fillId="0" borderId="0" xfId="0" applyFont="1" applyBorder="1" applyAlignment="1">
      <alignment vertical="top"/>
    </xf>
    <xf numFmtId="14" fontId="4" fillId="0" borderId="0" xfId="0" quotePrefix="1" applyNumberFormat="1" applyFont="1" applyAlignment="1">
      <alignment horizontal="left" vertical="top" indent="1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407818</xdr:colOff>
      <xdr:row>56</xdr:row>
      <xdr:rowOff>102592</xdr:rowOff>
    </xdr:from>
    <xdr:ext cx="780921" cy="802283"/>
    <xdr:pic>
      <xdr:nvPicPr>
        <xdr:cNvPr id="7" name="image1.jpeg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330416">
          <a:off x="407818" y="9589492"/>
          <a:ext cx="780921" cy="802283"/>
        </a:xfrm>
        <a:prstGeom prst="rect">
          <a:avLst/>
        </a:prstGeom>
      </xdr:spPr>
    </xdr:pic>
    <xdr:clientData/>
  </xdr:oneCellAnchor>
  <xdr:twoCellAnchor editAs="oneCell">
    <xdr:from>
      <xdr:col>0</xdr:col>
      <xdr:colOff>148343</xdr:colOff>
      <xdr:row>1</xdr:row>
      <xdr:rowOff>9526</xdr:rowOff>
    </xdr:from>
    <xdr:to>
      <xdr:col>1</xdr:col>
      <xdr:colOff>733426</xdr:colOff>
      <xdr:row>6</xdr:row>
      <xdr:rowOff>128447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0E3B7D8-5291-045D-2076-8E2F918C04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343" y="161926"/>
          <a:ext cx="1013708" cy="9285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H64"/>
  <sheetViews>
    <sheetView tabSelected="1" topLeftCell="A19" zoomScaleNormal="100" workbookViewId="0">
      <selection activeCell="L43" sqref="L43"/>
    </sheetView>
  </sheetViews>
  <sheetFormatPr defaultRowHeight="12" x14ac:dyDescent="0.2"/>
  <cols>
    <col min="1" max="1" width="7.5" style="1" customWidth="1"/>
    <col min="2" max="2" width="16.1640625" style="1" customWidth="1"/>
    <col min="3" max="3" width="56.6640625" style="1" customWidth="1"/>
    <col min="4" max="4" width="9.83203125" style="1" customWidth="1"/>
    <col min="5" max="5" width="11.33203125" style="1" customWidth="1"/>
    <col min="6" max="6" width="13" style="1" bestFit="1" customWidth="1"/>
    <col min="7" max="7" width="14.1640625" style="1" customWidth="1"/>
    <col min="8" max="8" width="20.83203125" style="1" customWidth="1"/>
    <col min="9" max="16384" width="9.33203125" style="1"/>
  </cols>
  <sheetData>
    <row r="2" spans="1:8" ht="15.75" x14ac:dyDescent="0.2">
      <c r="C2" s="10" t="s">
        <v>28</v>
      </c>
    </row>
    <row r="3" spans="1:8" x14ac:dyDescent="0.2">
      <c r="C3" s="6" t="s">
        <v>20</v>
      </c>
    </row>
    <row r="4" spans="1:8" x14ac:dyDescent="0.2">
      <c r="C4" s="6" t="s">
        <v>21</v>
      </c>
    </row>
    <row r="5" spans="1:8" x14ac:dyDescent="0.2">
      <c r="C5" s="6" t="s">
        <v>22</v>
      </c>
    </row>
    <row r="6" spans="1:8" x14ac:dyDescent="0.2">
      <c r="C6" s="6" t="s">
        <v>30</v>
      </c>
      <c r="E6" s="6"/>
    </row>
    <row r="7" spans="1:8" x14ac:dyDescent="0.2">
      <c r="C7" s="9" t="s">
        <v>23</v>
      </c>
      <c r="E7" s="6"/>
    </row>
    <row r="8" spans="1:8" x14ac:dyDescent="0.2">
      <c r="E8" s="6"/>
    </row>
    <row r="9" spans="1:8" ht="20.25" x14ac:dyDescent="0.2">
      <c r="A9" s="11" t="s">
        <v>4</v>
      </c>
      <c r="B9" s="11"/>
    </row>
    <row r="10" spans="1:8" ht="20.25" x14ac:dyDescent="0.2">
      <c r="A10" s="11"/>
      <c r="B10" s="11"/>
    </row>
    <row r="11" spans="1:8" x14ac:dyDescent="0.2">
      <c r="A11" s="13" t="s">
        <v>5</v>
      </c>
      <c r="B11" s="12"/>
      <c r="C11" s="3" t="s">
        <v>33</v>
      </c>
      <c r="E11" s="3" t="s">
        <v>24</v>
      </c>
      <c r="G11" s="57" t="s">
        <v>56</v>
      </c>
      <c r="H11" s="3"/>
    </row>
    <row r="12" spans="1:8" x14ac:dyDescent="0.2">
      <c r="A12" s="13"/>
      <c r="B12" s="12"/>
      <c r="C12" s="3" t="s">
        <v>32</v>
      </c>
      <c r="E12" s="3" t="s">
        <v>25</v>
      </c>
      <c r="G12" s="69" t="s">
        <v>57</v>
      </c>
      <c r="H12" s="3"/>
    </row>
    <row r="13" spans="1:8" x14ac:dyDescent="0.2">
      <c r="A13" s="13"/>
      <c r="B13" s="12"/>
      <c r="C13" s="3" t="s">
        <v>31</v>
      </c>
      <c r="E13" s="6" t="s">
        <v>26</v>
      </c>
      <c r="G13" s="57" t="s">
        <v>27</v>
      </c>
      <c r="H13" s="3"/>
    </row>
    <row r="14" spans="1:8" x14ac:dyDescent="0.2">
      <c r="A14" s="6" t="s">
        <v>6</v>
      </c>
      <c r="B14" s="3"/>
      <c r="C14" s="3" t="s">
        <v>7</v>
      </c>
      <c r="F14" s="3"/>
      <c r="G14" s="3"/>
      <c r="H14" s="3"/>
    </row>
    <row r="15" spans="1:8" x14ac:dyDescent="0.2">
      <c r="A15" s="3"/>
      <c r="B15" s="3"/>
      <c r="C15" s="3"/>
      <c r="F15" s="3"/>
      <c r="G15" s="3"/>
      <c r="H15" s="3"/>
    </row>
    <row r="16" spans="1:8" x14ac:dyDescent="0.2">
      <c r="A16" s="8" t="s">
        <v>0</v>
      </c>
      <c r="B16" s="4"/>
      <c r="C16" s="14" t="s">
        <v>29</v>
      </c>
      <c r="F16" s="3"/>
      <c r="G16" s="3"/>
      <c r="H16" s="3"/>
    </row>
    <row r="17" spans="1:8" x14ac:dyDescent="0.2">
      <c r="A17" s="3"/>
      <c r="B17" s="3"/>
      <c r="C17" s="3"/>
      <c r="D17" s="3"/>
      <c r="F17" s="3"/>
      <c r="G17" s="3"/>
      <c r="H17" s="3"/>
    </row>
    <row r="18" spans="1:8" x14ac:dyDescent="0.2">
      <c r="A18" s="4" t="s">
        <v>1</v>
      </c>
      <c r="D18" s="4"/>
      <c r="F18" s="4"/>
      <c r="G18" s="4"/>
      <c r="H18" s="4"/>
    </row>
    <row r="19" spans="1:8" x14ac:dyDescent="0.2">
      <c r="B19" s="4"/>
      <c r="C19" s="4"/>
      <c r="D19" s="4"/>
      <c r="E19" s="4"/>
      <c r="F19" s="4"/>
      <c r="G19" s="4"/>
      <c r="H19" s="4"/>
    </row>
    <row r="20" spans="1:8" s="18" customFormat="1" ht="15.75" thickBot="1" x14ac:dyDescent="0.3">
      <c r="A20" s="17" t="s">
        <v>47</v>
      </c>
      <c r="B20" s="17"/>
      <c r="C20" s="17" t="s">
        <v>48</v>
      </c>
      <c r="D20" s="17" t="s">
        <v>49</v>
      </c>
      <c r="E20" s="17" t="s">
        <v>44</v>
      </c>
      <c r="F20" s="17" t="s">
        <v>45</v>
      </c>
      <c r="G20" s="17" t="s">
        <v>46</v>
      </c>
    </row>
    <row r="21" spans="1:8" x14ac:dyDescent="0.2">
      <c r="A21" s="21">
        <v>1</v>
      </c>
      <c r="B21" s="15" t="s">
        <v>34</v>
      </c>
      <c r="C21" s="5"/>
      <c r="D21" s="19">
        <v>20</v>
      </c>
      <c r="E21" s="19" t="s">
        <v>35</v>
      </c>
      <c r="F21" s="58">
        <v>85</v>
      </c>
      <c r="G21" s="26">
        <f>D21*F21</f>
        <v>1700</v>
      </c>
      <c r="H21" s="2"/>
    </row>
    <row r="22" spans="1:8" x14ac:dyDescent="0.2">
      <c r="A22" s="42"/>
      <c r="B22" s="16" t="s">
        <v>36</v>
      </c>
      <c r="C22" s="43"/>
      <c r="D22" s="7"/>
      <c r="E22" s="7"/>
      <c r="F22" s="44"/>
      <c r="G22" s="44"/>
      <c r="H22" s="3"/>
    </row>
    <row r="23" spans="1:8" x14ac:dyDescent="0.2">
      <c r="A23" s="42"/>
      <c r="B23" s="20" t="s">
        <v>37</v>
      </c>
      <c r="C23" s="7"/>
      <c r="D23" s="45"/>
      <c r="E23" s="45"/>
      <c r="F23" s="46"/>
      <c r="G23" s="46"/>
      <c r="H23" s="23"/>
    </row>
    <row r="24" spans="1:8" x14ac:dyDescent="0.2">
      <c r="A24" s="47"/>
      <c r="B24" s="48"/>
      <c r="C24" s="40"/>
      <c r="D24" s="41"/>
      <c r="E24" s="49"/>
      <c r="F24" s="50"/>
      <c r="G24" s="50"/>
      <c r="H24" s="25"/>
    </row>
    <row r="25" spans="1:8" x14ac:dyDescent="0.2">
      <c r="A25" s="42">
        <v>2</v>
      </c>
      <c r="B25" s="15" t="s">
        <v>38</v>
      </c>
      <c r="C25" s="8"/>
      <c r="D25" s="35">
        <v>90</v>
      </c>
      <c r="E25" s="35" t="s">
        <v>35</v>
      </c>
      <c r="F25" s="59">
        <v>35</v>
      </c>
      <c r="G25" s="27">
        <f>D25*F25</f>
        <v>3150</v>
      </c>
      <c r="H25" s="25"/>
    </row>
    <row r="26" spans="1:8" x14ac:dyDescent="0.2">
      <c r="A26" s="42"/>
      <c r="B26" s="16" t="s">
        <v>39</v>
      </c>
      <c r="C26" s="8"/>
      <c r="D26" s="24"/>
      <c r="E26" s="51"/>
      <c r="F26" s="52"/>
      <c r="G26" s="52"/>
      <c r="H26" s="25"/>
    </row>
    <row r="27" spans="1:8" x14ac:dyDescent="0.2">
      <c r="A27" s="42"/>
      <c r="B27" s="20" t="s">
        <v>53</v>
      </c>
      <c r="C27" s="8"/>
      <c r="D27" s="24"/>
      <c r="E27" s="51"/>
      <c r="F27" s="52"/>
      <c r="G27" s="52"/>
      <c r="H27" s="25"/>
    </row>
    <row r="28" spans="1:8" x14ac:dyDescent="0.2">
      <c r="A28" s="42"/>
      <c r="B28" s="22" t="s">
        <v>2</v>
      </c>
      <c r="C28" s="8"/>
      <c r="D28" s="24"/>
      <c r="E28" s="51"/>
      <c r="F28" s="52"/>
      <c r="G28" s="52"/>
      <c r="H28" s="25"/>
    </row>
    <row r="29" spans="1:8" x14ac:dyDescent="0.2">
      <c r="A29" s="47"/>
      <c r="B29" s="40"/>
      <c r="C29" s="40"/>
      <c r="D29" s="41"/>
      <c r="E29" s="49"/>
      <c r="F29" s="50"/>
      <c r="G29" s="50"/>
      <c r="H29" s="25"/>
    </row>
    <row r="30" spans="1:8" x14ac:dyDescent="0.2">
      <c r="A30" s="42">
        <v>3</v>
      </c>
      <c r="B30" s="31" t="s">
        <v>40</v>
      </c>
      <c r="C30" s="8"/>
      <c r="D30" s="35">
        <f>300+200+90</f>
        <v>590</v>
      </c>
      <c r="E30" s="35" t="s">
        <v>35</v>
      </c>
      <c r="F30" s="59">
        <v>8</v>
      </c>
      <c r="G30" s="27">
        <f>D30*F30</f>
        <v>4720</v>
      </c>
      <c r="H30" s="25"/>
    </row>
    <row r="31" spans="1:8" x14ac:dyDescent="0.2">
      <c r="A31" s="42"/>
      <c r="B31" s="20" t="s">
        <v>41</v>
      </c>
      <c r="C31" s="8"/>
      <c r="D31" s="24"/>
      <c r="E31" s="51"/>
      <c r="F31" s="51"/>
      <c r="G31" s="52"/>
      <c r="H31" s="25"/>
    </row>
    <row r="32" spans="1:8" x14ac:dyDescent="0.2">
      <c r="A32" s="42"/>
      <c r="B32" s="20" t="s">
        <v>42</v>
      </c>
      <c r="C32" s="8"/>
      <c r="D32" s="24"/>
      <c r="E32" s="51"/>
      <c r="F32" s="51"/>
      <c r="G32" s="52"/>
      <c r="H32" s="25"/>
    </row>
    <row r="33" spans="1:8" x14ac:dyDescent="0.2">
      <c r="A33" s="53"/>
      <c r="B33" s="20" t="s">
        <v>43</v>
      </c>
      <c r="C33" s="8"/>
      <c r="D33" s="24"/>
      <c r="E33" s="51"/>
      <c r="F33" s="51"/>
      <c r="G33" s="52"/>
      <c r="H33" s="25"/>
    </row>
    <row r="34" spans="1:8" x14ac:dyDescent="0.2">
      <c r="A34" s="49"/>
      <c r="B34" s="48"/>
      <c r="C34" s="40"/>
      <c r="D34" s="41"/>
      <c r="E34" s="49"/>
      <c r="F34" s="49"/>
      <c r="G34" s="50"/>
      <c r="H34" s="25"/>
    </row>
    <row r="35" spans="1:8" x14ac:dyDescent="0.2">
      <c r="A35" s="51"/>
      <c r="B35" s="54"/>
      <c r="C35" s="22"/>
      <c r="D35" s="48" t="s">
        <v>17</v>
      </c>
      <c r="E35" s="49"/>
      <c r="F35" s="49"/>
      <c r="G35" s="50">
        <f>SUM(G21:G34)</f>
        <v>9570</v>
      </c>
      <c r="H35" s="25"/>
    </row>
    <row r="36" spans="1:8" x14ac:dyDescent="0.2">
      <c r="A36" s="65"/>
      <c r="B36" s="54"/>
      <c r="C36" s="24"/>
      <c r="D36" s="55" t="s">
        <v>18</v>
      </c>
      <c r="E36" s="37"/>
      <c r="F36" s="38"/>
      <c r="G36" s="39"/>
      <c r="H36" s="2"/>
    </row>
    <row r="37" spans="1:8" s="36" customFormat="1" ht="12.75" thickBot="1" x14ac:dyDescent="0.25">
      <c r="A37" s="66"/>
      <c r="B37" s="67"/>
      <c r="C37" s="68"/>
      <c r="D37" s="56" t="s">
        <v>19</v>
      </c>
      <c r="E37" s="62"/>
      <c r="F37" s="62"/>
      <c r="G37" s="63">
        <f>G35</f>
        <v>9570</v>
      </c>
      <c r="H37" s="64"/>
    </row>
    <row r="38" spans="1:8" ht="12.75" thickTop="1" x14ac:dyDescent="0.2">
      <c r="A38" s="2"/>
      <c r="B38" s="8"/>
      <c r="C38" s="8"/>
      <c r="D38" s="4"/>
      <c r="E38" s="2"/>
      <c r="F38" s="2"/>
      <c r="G38" s="28"/>
      <c r="H38" s="2"/>
    </row>
    <row r="39" spans="1:8" x14ac:dyDescent="0.2">
      <c r="C39" s="7"/>
      <c r="D39" s="3"/>
      <c r="E39" s="3"/>
      <c r="F39" s="3"/>
      <c r="G39" s="3"/>
      <c r="H39" s="3"/>
    </row>
    <row r="45" spans="1:8" x14ac:dyDescent="0.2">
      <c r="A45" s="1" t="s">
        <v>8</v>
      </c>
    </row>
    <row r="46" spans="1:8" x14ac:dyDescent="0.2">
      <c r="A46" s="6" t="s">
        <v>9</v>
      </c>
      <c r="B46" s="6"/>
      <c r="D46" s="3"/>
      <c r="E46" s="3"/>
      <c r="F46" s="3"/>
      <c r="G46" s="3"/>
      <c r="H46" s="3"/>
    </row>
    <row r="47" spans="1:8" x14ac:dyDescent="0.2">
      <c r="A47" s="6" t="s">
        <v>10</v>
      </c>
      <c r="B47" s="6"/>
      <c r="D47" s="3"/>
      <c r="E47" s="3"/>
      <c r="F47" s="3"/>
      <c r="G47" s="3"/>
      <c r="H47" s="3"/>
    </row>
    <row r="48" spans="1:8" x14ac:dyDescent="0.2">
      <c r="A48" s="6" t="s">
        <v>11</v>
      </c>
      <c r="B48" s="6"/>
      <c r="D48" s="3"/>
      <c r="E48" s="3"/>
      <c r="F48" s="3"/>
      <c r="G48" s="3"/>
      <c r="H48" s="3"/>
    </row>
    <row r="49" spans="1:8" x14ac:dyDescent="0.2">
      <c r="A49" s="6" t="s">
        <v>12</v>
      </c>
      <c r="B49" s="6"/>
      <c r="D49" s="3"/>
      <c r="E49" s="3"/>
      <c r="F49" s="3"/>
      <c r="G49" s="3"/>
      <c r="H49" s="3"/>
    </row>
    <row r="50" spans="1:8" x14ac:dyDescent="0.2">
      <c r="A50" s="6" t="s">
        <v>13</v>
      </c>
      <c r="B50" s="6"/>
      <c r="D50" s="3"/>
      <c r="E50" s="3"/>
      <c r="F50" s="3"/>
      <c r="G50" s="3"/>
      <c r="H50" s="3"/>
    </row>
    <row r="51" spans="1:8" x14ac:dyDescent="0.2">
      <c r="A51" s="6" t="s">
        <v>14</v>
      </c>
      <c r="B51" s="6"/>
      <c r="D51" s="3"/>
      <c r="E51" s="3"/>
      <c r="F51" s="3"/>
      <c r="G51" s="3"/>
      <c r="H51" s="3"/>
    </row>
    <row r="52" spans="1:8" x14ac:dyDescent="0.2">
      <c r="A52" s="6" t="s">
        <v>15</v>
      </c>
      <c r="B52" s="6"/>
      <c r="D52" s="3"/>
      <c r="E52" s="3"/>
      <c r="F52" s="3"/>
      <c r="G52" s="3"/>
      <c r="H52" s="3"/>
    </row>
    <row r="53" spans="1:8" x14ac:dyDescent="0.2">
      <c r="A53" s="6" t="s">
        <v>16</v>
      </c>
      <c r="B53" s="6"/>
      <c r="D53" s="3"/>
      <c r="E53" s="3"/>
      <c r="F53" s="3"/>
      <c r="G53" s="3"/>
      <c r="H53" s="3"/>
    </row>
    <row r="54" spans="1:8" x14ac:dyDescent="0.2">
      <c r="A54" s="3"/>
      <c r="B54" s="3"/>
      <c r="C54" s="6"/>
      <c r="D54" s="3"/>
      <c r="E54" s="3"/>
      <c r="F54" s="3"/>
      <c r="G54" s="3"/>
      <c r="H54" s="3"/>
    </row>
    <row r="55" spans="1:8" x14ac:dyDescent="0.2">
      <c r="A55" s="3"/>
      <c r="B55" s="3"/>
      <c r="C55" s="3"/>
      <c r="D55" s="3"/>
      <c r="E55" s="3"/>
      <c r="F55" s="3"/>
      <c r="G55" s="3"/>
      <c r="H55" s="3"/>
    </row>
    <row r="56" spans="1:8" ht="25.5" customHeight="1" x14ac:dyDescent="0.2">
      <c r="B56" s="8"/>
      <c r="C56" s="4"/>
      <c r="D56" s="60" t="s">
        <v>50</v>
      </c>
      <c r="E56" s="29"/>
      <c r="F56" s="29"/>
      <c r="G56" s="29"/>
      <c r="H56" s="3"/>
    </row>
    <row r="57" spans="1:8" ht="25.5" customHeight="1" x14ac:dyDescent="0.2">
      <c r="A57" s="8"/>
      <c r="B57" s="8"/>
      <c r="C57" s="4"/>
      <c r="D57" s="30"/>
      <c r="E57" s="2"/>
      <c r="F57" s="2"/>
      <c r="G57" s="2"/>
      <c r="H57" s="3"/>
    </row>
    <row r="60" spans="1:8" x14ac:dyDescent="0.2">
      <c r="A60" s="32"/>
      <c r="B60" s="32"/>
      <c r="D60" s="32"/>
      <c r="E60" s="32"/>
      <c r="F60" s="32"/>
      <c r="G60" s="32"/>
    </row>
    <row r="61" spans="1:8" x14ac:dyDescent="0.2">
      <c r="A61" s="33" t="s">
        <v>3</v>
      </c>
      <c r="B61" s="33"/>
      <c r="D61" s="61" t="s">
        <v>55</v>
      </c>
      <c r="E61" s="61"/>
      <c r="F61" s="61"/>
      <c r="G61" s="61"/>
    </row>
    <row r="62" spans="1:8" x14ac:dyDescent="0.2">
      <c r="A62" s="34"/>
      <c r="B62" s="34"/>
      <c r="D62" s="25" t="s">
        <v>54</v>
      </c>
      <c r="E62" s="25"/>
    </row>
    <row r="63" spans="1:8" x14ac:dyDescent="0.2">
      <c r="A63" s="34"/>
      <c r="B63" s="34"/>
      <c r="D63" s="1" t="s">
        <v>51</v>
      </c>
    </row>
    <row r="64" spans="1:8" x14ac:dyDescent="0.2">
      <c r="A64" s="34"/>
      <c r="B64" s="34"/>
      <c r="D64" s="1" t="s">
        <v>52</v>
      </c>
    </row>
  </sheetData>
  <mergeCells count="3">
    <mergeCell ref="D56:G56"/>
    <mergeCell ref="A61:B64"/>
    <mergeCell ref="D61:G61"/>
  </mergeCells>
  <pageMargins left="0.25" right="0.25" top="0.75" bottom="0.75" header="0.3" footer="0.3"/>
  <pageSetup paperSize="9" scale="86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1</vt:lpstr>
      <vt:lpstr>'Table 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kamal latif</cp:lastModifiedBy>
  <cp:lastPrinted>2026-07-16T09:50:25Z</cp:lastPrinted>
  <dcterms:created xsi:type="dcterms:W3CDTF">2026-07-16T06:40:50Z</dcterms:created>
  <dcterms:modified xsi:type="dcterms:W3CDTF">2026-07-16T09:52:07Z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StructuredOutput v10.0.20070.1</vt:lpwstr>
  </property>
  <property fmtid="{D5CDD505-2E9C-101B-9397-08002B2CF9AE}" pid="3" name="Created">
    <vt:filetime>2026-07-16T00:00:00Z</vt:filetime>
  </property>
  <property fmtid="{D5CDD505-2E9C-101B-9397-08002B2CF9AE}" pid="4" name="LastSaved">
    <vt:filetime>2026-07-16T00:00:00Z</vt:filetime>
  </property>
</Properties>
</file>