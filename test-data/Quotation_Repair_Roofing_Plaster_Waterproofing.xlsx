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00 CIPAA contract work dairy\QS-WFUI\test-data\"/>
    </mc:Choice>
  </mc:AlternateContent>
  <xr:revisionPtr revIDLastSave="0" documentId="13_ncr:1_{CB21B79C-E54B-40F3-B7A6-E0C5D3C844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otation" sheetId="1" r:id="rId1"/>
  </sheets>
  <calcPr calcId="191028"/>
</workbook>
</file>

<file path=xl/calcChain.xml><?xml version="1.0" encoding="utf-8"?>
<calcChain xmlns="http://schemas.openxmlformats.org/spreadsheetml/2006/main">
  <c r="C10" i="1" l="1"/>
  <c r="F10" i="1" s="1"/>
  <c r="F7" i="1"/>
  <c r="F4" i="1"/>
  <c r="F15" i="1" l="1"/>
</calcChain>
</file>

<file path=xl/sharedStrings.xml><?xml version="1.0" encoding="utf-8"?>
<sst xmlns="http://schemas.openxmlformats.org/spreadsheetml/2006/main" count="21" uniqueCount="19">
  <si>
    <t>Quotation: Roofing &amp; Plaster Ceiling Repair</t>
  </si>
  <si>
    <t>No</t>
  </si>
  <si>
    <t>Description</t>
  </si>
  <si>
    <t>Quantity</t>
  </si>
  <si>
    <t>Unit</t>
  </si>
  <si>
    <t>Rate (RM)</t>
  </si>
  <si>
    <t>Total (RM)</t>
  </si>
  <si>
    <t>sf</t>
  </si>
  <si>
    <t>Total</t>
  </si>
  <si>
    <t>Kerja Membuka &amp; Menukar Genting Bumbung Rosak</t>
  </si>
  <si>
    <t>• Membuka genting sedia ada yang rosak</t>
  </si>
  <si>
    <t>• Memasang genting baru (termasuk bahan dan upah pekerja)</t>
  </si>
  <si>
    <t>Kerja Kalis Air (Waterproofing) Gutter</t>
  </si>
  <si>
    <t>• Membersihkan permukaan longkang bumbung</t>
  </si>
  <si>
    <r>
      <t>• Menyapu lapisan kalis air (</t>
    </r>
    <r>
      <rPr>
        <i/>
        <sz val="11"/>
        <color theme="1"/>
        <rFont val="Arial"/>
        <family val="2"/>
      </rPr>
      <t>acrylic/polyurethane coating</t>
    </r>
    <r>
      <rPr>
        <sz val="11"/>
        <color theme="1"/>
        <rFont val="Arial"/>
        <family val="2"/>
      </rPr>
      <t>)</t>
    </r>
  </si>
  <si>
    <t>Menukar &amp; Mengecat Plaster Board (3 Bilik)</t>
  </si>
  <si>
    <t>• Bilik 1:300 sf</t>
  </si>
  <si>
    <t>• Bilik 2:200 sf</t>
  </si>
  <si>
    <t>• Bilik 3: 90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</si>
</sst>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363840"/>
      </bottom>
      <diagonal/>
    </border>
    <border>
      <left/>
      <right/>
      <top style="medium">
        <color rgb="FF36384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43" fontId="3" fillId="0" borderId="3" xfId="1" applyFont="1" applyBorder="1" applyAlignment="1">
      <alignment vertical="center" wrapText="1"/>
    </xf>
    <xf numFmtId="43" fontId="3" fillId="0" borderId="0" xfId="1" applyFont="1" applyAlignment="1">
      <alignment vertical="center" wrapText="1"/>
    </xf>
    <xf numFmtId="43" fontId="3" fillId="0" borderId="2" xfId="1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/>
    <xf numFmtId="0" fontId="2" fillId="0" borderId="0" xfId="0" applyFont="1"/>
    <xf numFmtId="0" fontId="6" fillId="2" borderId="0" xfId="0" applyFont="1" applyFill="1" applyAlignment="1">
      <alignment horizontal="center"/>
    </xf>
    <xf numFmtId="0" fontId="7" fillId="0" borderId="0" xfId="0" applyFont="1"/>
    <xf numFmtId="4" fontId="7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22" sqref="D22"/>
    </sheetView>
  </sheetViews>
  <sheetFormatPr defaultRowHeight="14.25" x14ac:dyDescent="0.2"/>
  <cols>
    <col min="1" max="1" width="15" style="1" customWidth="1"/>
    <col min="2" max="2" width="60" style="1" customWidth="1"/>
    <col min="3" max="6" width="15" style="1" customWidth="1"/>
    <col min="7" max="16384" width="9.140625" style="1"/>
  </cols>
  <sheetData>
    <row r="1" spans="1:6" s="1" customFormat="1" ht="18" x14ac:dyDescent="0.25">
      <c r="A1" s="14" t="s">
        <v>0</v>
      </c>
      <c r="B1" s="15"/>
      <c r="C1" s="15"/>
      <c r="D1" s="15"/>
      <c r="E1" s="15"/>
      <c r="F1" s="15"/>
    </row>
    <row r="3" spans="1:6" s="1" customFormat="1" ht="15.75" thickBot="1" x14ac:dyDescent="0.3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</row>
    <row r="4" spans="1:6" s="1" customFormat="1" ht="15" x14ac:dyDescent="0.2">
      <c r="A4" s="9">
        <v>1</v>
      </c>
      <c r="B4" s="3" t="s">
        <v>9</v>
      </c>
      <c r="C4" s="11">
        <v>20</v>
      </c>
      <c r="D4" s="11" t="s">
        <v>7</v>
      </c>
      <c r="E4" s="11">
        <v>85</v>
      </c>
      <c r="F4" s="6">
        <f>C4*E4</f>
        <v>1700</v>
      </c>
    </row>
    <row r="5" spans="1:6" s="1" customFormat="1" ht="15" x14ac:dyDescent="0.2">
      <c r="A5" s="10"/>
      <c r="B5" s="4" t="s">
        <v>10</v>
      </c>
      <c r="C5" s="12"/>
      <c r="D5" s="12"/>
      <c r="E5" s="12"/>
      <c r="F5" s="7"/>
    </row>
    <row r="6" spans="1:6" s="1" customFormat="1" ht="15.75" thickBot="1" x14ac:dyDescent="0.25">
      <c r="A6" s="2"/>
      <c r="B6" s="5" t="s">
        <v>11</v>
      </c>
      <c r="C6" s="13"/>
      <c r="D6" s="13"/>
      <c r="E6" s="13"/>
      <c r="F6" s="8"/>
    </row>
    <row r="7" spans="1:6" s="1" customFormat="1" ht="15" x14ac:dyDescent="0.2">
      <c r="A7" s="9">
        <v>2</v>
      </c>
      <c r="B7" s="3" t="s">
        <v>12</v>
      </c>
      <c r="C7" s="11">
        <v>90</v>
      </c>
      <c r="D7" s="11" t="s">
        <v>7</v>
      </c>
      <c r="E7" s="11">
        <v>35</v>
      </c>
      <c r="F7" s="6">
        <f>C7*E7</f>
        <v>3150</v>
      </c>
    </row>
    <row r="8" spans="1:6" s="1" customFormat="1" ht="15" x14ac:dyDescent="0.2">
      <c r="A8" s="10"/>
      <c r="B8" s="4" t="s">
        <v>13</v>
      </c>
      <c r="C8" s="12"/>
      <c r="D8" s="12"/>
      <c r="E8" s="12"/>
      <c r="F8" s="7"/>
    </row>
    <row r="9" spans="1:6" s="1" customFormat="1" ht="15.75" thickBot="1" x14ac:dyDescent="0.25">
      <c r="A9" s="2"/>
      <c r="B9" s="5" t="s">
        <v>14</v>
      </c>
      <c r="C9" s="13"/>
      <c r="D9" s="13"/>
      <c r="E9" s="13"/>
      <c r="F9" s="8"/>
    </row>
    <row r="10" spans="1:6" s="1" customFormat="1" ht="15" x14ac:dyDescent="0.2">
      <c r="A10" s="9">
        <v>3</v>
      </c>
      <c r="B10" s="3" t="s">
        <v>15</v>
      </c>
      <c r="C10" s="11">
        <f>300+200+90</f>
        <v>590</v>
      </c>
      <c r="D10" s="11" t="s">
        <v>7</v>
      </c>
      <c r="E10" s="11">
        <v>8</v>
      </c>
      <c r="F10" s="6">
        <f>C10*E10</f>
        <v>4720</v>
      </c>
    </row>
    <row r="11" spans="1:6" s="1" customFormat="1" ht="15" x14ac:dyDescent="0.2">
      <c r="A11" s="10"/>
      <c r="B11" s="4" t="s">
        <v>16</v>
      </c>
      <c r="C11" s="12"/>
      <c r="D11" s="12"/>
      <c r="E11" s="12"/>
      <c r="F11" s="7"/>
    </row>
    <row r="12" spans="1:6" s="1" customFormat="1" ht="15" x14ac:dyDescent="0.2">
      <c r="A12" s="10"/>
      <c r="B12" s="4" t="s">
        <v>17</v>
      </c>
      <c r="C12" s="12"/>
      <c r="D12" s="12"/>
      <c r="E12" s="12"/>
      <c r="F12" s="7"/>
    </row>
    <row r="13" spans="1:6" s="1" customFormat="1" ht="15.75" thickBot="1" x14ac:dyDescent="0.25">
      <c r="A13" s="2"/>
      <c r="B13" s="5" t="s">
        <v>18</v>
      </c>
      <c r="C13" s="13"/>
      <c r="D13" s="13"/>
      <c r="E13" s="13"/>
      <c r="F13" s="8"/>
    </row>
    <row r="15" spans="1:6" s="1" customFormat="1" ht="15" x14ac:dyDescent="0.25">
      <c r="E15" s="17" t="s">
        <v>8</v>
      </c>
      <c r="F15" s="18">
        <f>SUM(F4:F14)</f>
        <v>9570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 latif</cp:lastModifiedBy>
  <dcterms:created xsi:type="dcterms:W3CDTF">2026-07-15T08:00:54Z</dcterms:created>
  <dcterms:modified xsi:type="dcterms:W3CDTF">2026-07-15T23:56:08Z</dcterms:modified>
</cp:coreProperties>
</file>